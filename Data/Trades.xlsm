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 codeName="{00000000-0000-0000-0000-000000000000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8d42e52f2a19d6a/Desktop/"/>
    </mc:Choice>
  </mc:AlternateContent>
  <xr:revisionPtr revIDLastSave="27" documentId="8_{CD07631F-F482-43DB-BCA4-9941262E4E79}" xr6:coauthVersionLast="47" xr6:coauthVersionMax="47" xr10:uidLastSave="{0E96EA4E-0530-464F-B207-824F27DDFF4E}"/>
  <bookViews>
    <workbookView xWindow="-120" yWindow="-120" windowWidth="29040" windowHeight="15720" xr2:uid="{E0B61FAF-1D3C-4821-81F9-1C2183D3381D}"/>
  </bookViews>
  <sheets>
    <sheet name="Trades" sheetId="3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L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E1FF3C-025D-4C28-89BC-8B4495AC966A}" keepAlive="1" name="Consulta - latest" description="Ligação à consulta 'latest' no livro." type="5" refreshedVersion="8" background="1" saveData="1">
    <dbPr connection="Provider=Microsoft.Mashup.OleDb.1;Data Source=$Workbook$;Location=latest;Extended Properties=&quot;&quot;" command="SELECT * FROM [latest]"/>
  </connection>
</connections>
</file>

<file path=xl/sharedStrings.xml><?xml version="1.0" encoding="utf-8"?>
<sst xmlns="http://schemas.openxmlformats.org/spreadsheetml/2006/main" count="15" uniqueCount="15">
  <si>
    <t>a</t>
  </si>
  <si>
    <t>name</t>
  </si>
  <si>
    <t>id</t>
  </si>
  <si>
    <t>float</t>
  </si>
  <si>
    <t>bought_at</t>
  </si>
  <si>
    <t>days_to_sell</t>
  </si>
  <si>
    <t>bought_for$</t>
  </si>
  <si>
    <t>bought_for€</t>
  </si>
  <si>
    <t>sold_for$(taxes_included)</t>
  </si>
  <si>
    <t>sold_for€(taxes_included)</t>
  </si>
  <si>
    <t>profit$(post_taxes)</t>
  </si>
  <si>
    <t>profit€(post_taxes)</t>
  </si>
  <si>
    <t>percentage_of_profit</t>
  </si>
  <si>
    <t>sell_for$(when_was_bought)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</si>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</sst>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yyyy\-mm\-dd;@"/>
    <numFmt numFmtId="166" formatCode="#,##0.00\ [$USD]"/>
  </numFmts>
  <fonts count="7"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166" fontId="0" fillId="0" borderId="0" xfId="0" applyNumberFormat="1"/>
    <xf numFmtId="166" fontId="0" fillId="4" borderId="1" xfId="1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 vertical="center"/>
    </xf>
    <xf numFmtId="0" fontId="1" fillId="3" borderId="4" xfId="0" applyFont="1" applyFill="1" applyBorder="1"/>
    <xf numFmtId="0" fontId="1" fillId="3" borderId="3" xfId="0" applyFont="1" applyFill="1" applyBorder="1"/>
    <xf numFmtId="166" fontId="5" fillId="2" borderId="2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6" fontId="2" fillId="0" borderId="1" xfId="0" applyNumberFormat="1" applyFont="1" applyFill="1" applyBorder="1" applyAlignment="1">
      <alignment horizontal="center" vertical="center"/>
    </xf>
    <xf numFmtId="10" fontId="5" fillId="2" borderId="2" xfId="0" applyNumberFormat="1" applyFont="1" applyFill="1" applyBorder="1" applyAlignment="1">
      <alignment horizontal="center" vertical="center"/>
    </xf>
    <xf numFmtId="10" fontId="2" fillId="0" borderId="1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3" fillId="2" borderId="5" xfId="0" applyFont="1" applyFill="1" applyBorder="1" applyAlignment="1">
      <alignment horizontal="center" vertical="center"/>
    </xf>
    <xf numFmtId="0" fontId="0" fillId="3" borderId="6" xfId="0" applyFill="1" applyBorder="1"/>
    <xf numFmtId="49" fontId="0" fillId="3" borderId="6" xfId="0" applyNumberFormat="1" applyFill="1" applyBorder="1"/>
    <xf numFmtId="165" fontId="0" fillId="3" borderId="6" xfId="0" applyNumberFormat="1" applyFill="1" applyBorder="1"/>
    <xf numFmtId="166" fontId="0" fillId="3" borderId="6" xfId="0" applyNumberFormat="1" applyFill="1" applyBorder="1"/>
    <xf numFmtId="164" fontId="0" fillId="3" borderId="6" xfId="0" applyNumberFormat="1" applyFont="1" applyFill="1" applyBorder="1"/>
    <xf numFmtId="164" fontId="0" fillId="2" borderId="6" xfId="0" applyNumberFormat="1" applyFont="1" applyFill="1" applyBorder="1" applyAlignment="1">
      <alignment horizontal="center" vertical="center"/>
    </xf>
    <xf numFmtId="10" fontId="0" fillId="3" borderId="6" xfId="0" applyNumberFormat="1" applyFont="1" applyFill="1" applyBorder="1"/>
    <xf numFmtId="0" fontId="5" fillId="2" borderId="2" xfId="0" applyNumberFormat="1" applyFon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0" fontId="0" fillId="0" borderId="0" xfId="0" applyNumberFormat="1"/>
    <xf numFmtId="166" fontId="0" fillId="2" borderId="6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/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#,##0.00\ [$USD]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0\ [$USD]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0\ [$USD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#,##0.00\ [$USD]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#,##0.00\ [$USD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yyyy\-mm\-dd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yyyy\-mm\-dd;@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30" formatCode="@"/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>
          <bgColor rgb="FF00B05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11E4E-B7FC-447A-8BD7-A6C16E37E5A3}" name="Table" displayName="Table" ref="A1:N3" totalsRowCount="1" headerRowDxfId="33" dataDxfId="32" totalsRowDxfId="31" headerRowBorderDxfId="29" tableBorderDxfId="30" totalsRowBorderDxfId="28">
  <autoFilter ref="A1:N2" xr:uid="{66511E4E-B7FC-447A-8BD7-A6C16E37E5A3}"/>
  <tableColumns count="14">
    <tableColumn id="1" xr3:uid="{DDB00955-BB15-4B95-A60E-2C2C5A24DCE1}" name="a" totalsRowLabel="Total Profit" dataDxfId="26" totalsRowDxfId="27"/>
    <tableColumn id="2" xr3:uid="{0EAFDCF5-B847-4806-89E5-7F66859056C4}" name="name" dataDxfId="24" totalsRowDxfId="25"/>
    <tableColumn id="3" xr3:uid="{C4D39AB2-2884-4696-801A-92D091B056DB}" name="id" dataDxfId="22" totalsRowDxfId="23"/>
    <tableColumn id="4" xr3:uid="{9F60B4ED-808F-478D-BF9B-AB55EE47738C}" name="float" dataDxfId="20" totalsRowDxfId="21"/>
    <tableColumn id="5" xr3:uid="{CEDCCF9F-4F26-44D2-BCE9-EDB27ADA8129}" name="bought_at" dataDxfId="18" totalsRowDxfId="19"/>
    <tableColumn id="6" xr3:uid="{A6E660E5-6539-4FEF-BC38-36634261CC0E}" name="days_to_sell" dataDxfId="16" totalsRowDxfId="17"/>
    <tableColumn id="8" xr3:uid="{55560116-F230-467D-AB33-10B590001BC0}" name="bought_for$" dataDxfId="14" totalsRowDxfId="15"/>
    <tableColumn id="9" xr3:uid="{9986F785-BC84-45F8-8ABB-7231AD22BFCE}" name="bought_for€" dataDxfId="12" totalsRowDxfId="13"/>
    <tableColumn id="10" xr3:uid="{232AE0F4-D3EC-4E07-BE0E-38E2A48BD282}" name="sold_for$(taxes_included)" dataDxfId="10" totalsRowDxfId="11" dataCellStyle="Moeda"/>
    <tableColumn id="11" xr3:uid="{2A8634A2-A973-436E-A8A6-C01F70473CC1}" name="sold_for€(taxes_included)" dataDxfId="8" totalsRowDxfId="9"/>
    <tableColumn id="12" xr3:uid="{1E91607F-BBC9-4BAA-996B-8FF379B91CD0}" name="profit$(post_taxes)" totalsRowFunction="sum" dataDxfId="6" totalsRowDxfId="7"/>
    <tableColumn id="13" xr3:uid="{3AAE5563-02AF-4049-861D-F99117E916C6}" name="profit€(post_taxes)" totalsRowFunction="sum" dataDxfId="4" totalsRowDxfId="5"/>
    <tableColumn id="14" xr3:uid="{946350DA-5EDB-46C2-943F-30CFA3E98B82}" name="percentage_of_profit" dataDxfId="2" totalsRowDxfId="3"/>
    <tableColumn id="15" xr3:uid="{AAD379C5-FCF1-4512-A867-C9157DBC8425}" name="sell_for$(when_was_bought)" dataDxfId="0" totalsRowDxfId="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A7DBE-53EB-4752-86E3-57CEF36ED877}">
  <sheetPr codeName="Folha1"/>
  <dimension ref="A1:N3"/>
  <sheetViews>
    <sheetView tabSelected="1" topLeftCell="D1" zoomScale="80" zoomScaleNormal="80" workbookViewId="0">
      <selection activeCell="P2" sqref="P2"/>
    </sheetView>
  </sheetViews>
  <sheetFormatPr defaultRowHeight="15"/>
  <cols>
    <col min="1" max="1" width="13.7109375" customWidth="1"/>
    <col min="2" max="2" width="48.140625" customWidth="1"/>
    <col min="3" max="3" width="22.42578125" customWidth="1"/>
    <col min="4" max="4" width="16.5703125" customWidth="1"/>
    <col min="5" max="5" width="15.140625" customWidth="1"/>
    <col min="6" max="6" width="17.7109375" customWidth="1"/>
    <col min="7" max="7" width="17.28515625" customWidth="1"/>
    <col min="8" max="8" width="19.140625" customWidth="1"/>
    <col min="9" max="9" width="33" customWidth="1"/>
    <col min="10" max="10" width="32.28515625" style="3" customWidth="1"/>
    <col min="11" max="11" width="23.42578125" style="4" customWidth="1"/>
    <col min="12" max="12" width="24.140625" style="3" customWidth="1"/>
    <col min="13" max="13" width="27.5703125" style="17" customWidth="1"/>
    <col min="14" max="14" width="35.85546875" style="28" customWidth="1"/>
  </cols>
  <sheetData>
    <row r="1" spans="1:14" ht="31.5" customHeight="1">
      <c r="A1" s="8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9" t="s">
        <v>6</v>
      </c>
      <c r="H1" s="10" t="s">
        <v>7</v>
      </c>
      <c r="I1" s="9" t="s">
        <v>8</v>
      </c>
      <c r="J1" s="10" t="s">
        <v>9</v>
      </c>
      <c r="K1" s="9" t="s">
        <v>10</v>
      </c>
      <c r="L1" s="10" t="s">
        <v>11</v>
      </c>
      <c r="M1" s="15" t="s">
        <v>12</v>
      </c>
      <c r="N1" s="26" t="s">
        <v>13</v>
      </c>
    </row>
    <row r="2" spans="1:14">
      <c r="A2" s="7"/>
      <c r="B2" s="1"/>
      <c r="C2" s="31"/>
      <c r="D2" s="1"/>
      <c r="E2" s="2"/>
      <c r="F2" s="1"/>
      <c r="G2" s="6"/>
      <c r="H2" s="13"/>
      <c r="I2" s="5"/>
      <c r="J2" s="13"/>
      <c r="K2" s="14"/>
      <c r="L2" s="13"/>
      <c r="M2" s="16"/>
      <c r="N2" s="30"/>
    </row>
    <row r="3" spans="1:14">
      <c r="A3" s="18" t="s">
        <v>14</v>
      </c>
      <c r="B3" s="19"/>
      <c r="C3" s="20"/>
      <c r="D3" s="19"/>
      <c r="E3" s="21"/>
      <c r="F3" s="19"/>
      <c r="G3" s="19"/>
      <c r="H3" s="23"/>
      <c r="I3" s="22"/>
      <c r="J3" s="23"/>
      <c r="K3" s="29">
        <f>SUBTOTAL(109,Table[profit$(post_taxes)])</f>
        <v>0</v>
      </c>
      <c r="L3" s="24">
        <f>SUBTOTAL(109,Table[profit€(post_taxes)])</f>
        <v>0</v>
      </c>
      <c r="M3" s="25"/>
      <c r="N3" s="27"/>
    </row>
  </sheetData>
  <conditionalFormatting sqref="L2">
    <cfRule type="expression" dxfId="36" priority="2">
      <formula>L2&lt;0</formula>
    </cfRule>
    <cfRule type="expression" dxfId="35" priority="3">
      <formula>L2&lt;0.009</formula>
    </cfRule>
    <cfRule type="expression" dxfId="34" priority="4">
      <formula>L2&gt;0.009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F34F8D-9E11-4FF1-AE74-AF8DCC8D7D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Gonçalo Cruz</dc:creator>
  <cp:keywords/>
  <dc:description/>
  <cp:lastModifiedBy>Gonçalo Cruz</cp:lastModifiedBy>
  <cp:revision/>
  <dcterms:created xsi:type="dcterms:W3CDTF">2025-08-07T11:58:14Z</dcterms:created>
  <dcterms:modified xsi:type="dcterms:W3CDTF">2026-02-19T19:22:42Z</dcterms:modified>
  <cp:category/>
  <cp:contentStatus/>
</cp:coreProperties>
</file>